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Default Extension="png" ContentType="image/png"/>
  <Default Extension="tiff" ContentType="image/tiff"/>
  <Default Extension="emf" ContentType="image/x-emf"/>
  <Default Extension="wmf" ContentType="image/x-wmf"/>
  <Default Extension="emz" ContentType="image/x-emz"/>
  <Default Extension="gif" ContentType="image/gif"/>
  <Default Extension="svg" ContentType="image/svg"/>
  <Default Extension="wmz" ContentType="image/x-wmz"/>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charts/chart1.xml" ContentType="application/vnd.openxmlformats-officedocument.drawingml.chart+xml"/>
  <Override PartName="/xl/drawings/drawing1.xml" ContentType="application/vnd.openxmlformats-officedocument.drawing+xml"/>
  <Override PartName="/xl/charts/chart2.xml" ContentType="application/vnd.openxmlformats-officedocument.drawingml.chart+xml"/>
  <Override PartName="/xl/worksheets/sheet4.xml" ContentType="application/vnd.openxmlformats-officedocument.spreadsheetml.worksheet+xml"/>
  <Override PartName="/xl/worksheets/sheet5.xml" ContentType="application/vnd.openxmlformats-officedocument.spreadsheetml.worksheet+xml"/>
  <Override PartName="/xl/charts/chart3.xml" ContentType="application/vnd.openxmlformats-officedocument.drawingml.chart+xml"/>
  <Override PartName="/xl/drawings/drawing2.xml" ContentType="application/vnd.openxmlformats-officedocument.drawing+xml"/>
  <Override PartName="/xl/charts/chart4.xml" ContentType="application/vnd.openxmlformats-officedocument.drawingml.char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Sheet1" sheetId="1" r:id="rId1"/>
    <sheet name="CPU_Statistics" sheetId="2" r:id="rId4"/>
    <sheet name="CPU_Charts" sheetId="3" r:id="rId6"/>
    <sheet name="Memory_Statistics" sheetId="4" r:id="rId7"/>
    <sheet name="Memory_Charts" sheetId="5" r:id="rId8"/>
  </sheets>
  <calcPr calcId="122211"/>
</workbook>
</file>

<file path=xl/sharedStrings.xml><?xml version="1.0" encoding="utf-8"?>
<sst xmlns="http://schemas.openxmlformats.org/spreadsheetml/2006/main" count="24" uniqueCount="24">
  <si>
    <t>Algorithm</t>
  </si>
  <si>
    <t>Run Name</t>
  </si>
  <si>
    <t>File</t>
  </si>
  <si>
    <t>File Size (bytes)</t>
  </si>
  <si>
    <t>Average Cycles</t>
  </si>
  <si>
    <t>Std Dev</t>
  </si>
  <si>
    <t>Min Cycles</t>
  </si>
  <si>
    <t>Max Cycles</t>
  </si>
  <si>
    <t>Sample Count</t>
  </si>
  <si>
    <t>bubble-sort</t>
  </si>
  <si>
    <t>i9</t>
  </si>
  <si>
    <t>01_100.bin</t>
  </si>
  <si>
    <t>02_1K.bin</t>
  </si>
  <si>
    <t>03_5K.bin</t>
  </si>
  <si>
    <t>04_10K.bin</t>
  </si>
  <si>
    <t>05_50K.bin</t>
  </si>
  <si>
    <t>06_100K.bin</t>
  </si>
  <si>
    <t>merge-sort</t>
  </si>
  <si>
    <t>quick-sort</t>
  </si>
  <si>
    <t>Total Allocated (bytes)</t>
  </si>
  <si>
    <t>Total Freed (bytes)</t>
  </si>
  <si>
    <t>Average Memory Usage (bytes)</t>
  </si>
  <si>
    <t>Allocation Count</t>
  </si>
  <si>
    <t>Free Count</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</si>
</sst>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1">
    <font>
      <sz val="11"/>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 Id="rId5" Target="/xl/sharedStrings.xml" Type="http://schemas.openxmlformats.org/officeDocument/2006/relationships/sharedStrings"></Relationship><Relationship Id="rId6" Target="/xl/worksheets/sheet3.xml" Type="http://schemas.openxmlformats.org/officeDocument/2006/relationships/worksheet"></Relationship><Relationship Id="rId7" Target="/xl/worksheets/sheet4.xml" Type="http://schemas.openxmlformats.org/officeDocument/2006/relationships/worksheet"></Relationship><Relationship Id="rId8" Target="/xl/worksheets/sheet5.xml" Type="http://schemas.openxmlformats.org/officeDocument/2006/relationships/worksheet"></Relationship></Relationships>
</file>

<file path=xl/charts/chart1.xml><?xml version="1.0" encoding="utf-8"?>
<chartSpace xmlns="http://schemas.openxmlformats.org/drawingml/2006/chart" xmlns:a="http://schemas.openxmlformats.org/drawingml/2006/main">
  <date1904 val="0"/>
  <lang val="en-US"/>
  <roundedCorners val="0"/>
  <chart>
    <title>
      <tx>
        <rich>
          <a:bodyPr anchorCtr="false" rot="0" spcFirstLastPara="false"/>
          <a:p>
            <a:pPr>
              <a:defRPr b="false" baseline="0" i="false" kern="1200" spc="0" strike="noStrike" sz="1400" u="none">
                <a:solidFill>
                  <a:schemeClr val="tx1">
                    <a:lumMod val="65000"/>
                    <a:lumOff val="35000"/>
                  </a:schemeClr>
                </a:solidFill>
                <a:latin typeface="+mn-lt"/>
                <a:ea typeface="+mn-ea"/>
                <a:cs typeface="+mn-cs"/>
              </a:defRPr>
            </a:pPr>
            <a:r>
              <a:rPr altLang="en-US" b="false" baseline="0" i="false" kern="0" lang="en-US" spc="0"/>
              <a:t>CPU Performance Comparison</a:t>
            </a:r>
          </a:p>
        </rich>
      </tx>
      <overlay val="0"/>
      <spPr/>
      <txPr>
        <a:bodyPr anchorCtr="false" rot="0" spcFirstLastPara="false"/>
        <a:p>
          <a:pPr>
            <a:defRPr b="false" baseline="0" i="false" kern="1200" spc="0" strike="noStrike" sz="14000" u="none"/>
          </a:pPr>
          <a:endParaRPr lang="en-US"/>
        </a:p>
      </txPr>
    </title>
    <view3D>
      <rotX val="0"/>
      <rotY val="0"/>
      <rAngAx val="0"/>
      <perspective val="0"/>
    </view3D>
    <floor>
      <thickness val="0"/>
    </floor>
    <sideWall>
      <thickness val="0"/>
    </sideWall>
    <backWall>
      <thickness val="0"/>
    </backWall>
    <plotArea>
      <scatterChart>
        <scatterStyle val="smoothMarker"/>
        <varyColors val="0"/>
        <ser>
          <idx val="0"/>
          <order val="0"/>
          <tx>
            <strRef>
              <f>Average Cycles</f>
            </strRef>
          </tx>
          <spPr>
            <a:ln w="25400">
              <a:noFill> </a:noFill>
            </a:ln>
          </spPr>
          <marker>
            <symbol val="circle"/>
            <size val="5"/>
            <spPr>
              <a:solidFill>
                <a:schemeClr val="accent1"/>
              </a:solidFill>
              <a:ln w="9252">
                <a:solidFill>
                  <a:schemeClr val="accent1"/>
                </a:solidFill>
              </a:ln>
            </spPr>
          </marker>
          <invertIfNegative val="0"/>
          <xVal>
            <strRef>
              <f>CPU_Statistics!$D$2:$D$19</f>
            </strRef>
          </xVal>
          <yVal>
            <numRef>
              <f>CPU_Statistics!$E$2:$E$19</f>
            </numRef>
          </yVal>
          <smooth val="0"/>
        </ser>
        <dLbls>
          <showLegendKey val="0"/>
          <showVal val="0"/>
          <showCatName val="0"/>
          <showSerName val="0"/>
          <showPercent val="0"/>
          <showBubbleSize val="0"/>
          <showLeaderLines val="0"/>
        </dLbls>
        <axId val="754001152"/>
        <axId val="753999904"/>
      </scatterChart>
      <catAx>
        <axId val="754001152"/>
        <scaling>
          <orientation val="minMax"/>
        </scaling>
        <delete val="0"/>
        <axPos val="b"/>
        <numFmt formatCode="General" sourceLinked="true"/>
        <majorTickMark val="none"/>
        <minorTickMark val="none"/>
        <tickLblPos val="nextTo"/>
        <spPr>
          <a:ln algn="ctr" cap="flat" cmpd="sng" w="9525">
            <a:solidFill>
              <a:schemeClr val="tx1">
                <a:lumMod val="15000"/>
                <a:lumOff val="85000"/>
              </a:schemeClr>
            </a:solidFill>
          </a:ln>
        </spPr>
        <txPr>
          <a:bodyPr anchor="ctr" anchorCtr="true" rot="-6000000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753999904"/>
        <crosses val="autoZero"/>
        <auto val="1"/>
        <lblAlgn val="ctr"/>
        <lblOffset val="100"/>
        <noMultiLvlLbl val="0"/>
      </catAx>
      <valAx>
        <axId val="753999904"/>
        <scaling>
          <orientation val="minMax"/>
        </scaling>
        <delete val="0"/>
        <axPos val="l"/>
        <numFmt formatCode="General" sourceLinked="true"/>
        <majorTickMark val="none"/>
        <minorTickMark val="none"/>
        <tickLblPos val="nextTo"/>
        <spPr>
          <a:ln algn="ctr" cap="flat" cmpd="sng" w="9525">
            <a:solidFill>
              <a:schemeClr val="tx1">
                <a:lumMod val="15000"/>
                <a:lumOff val="85000"/>
              </a:schemeClr>
            </a:solidFill>
          </a:ln>
        </spPr>
        <txPr>
          <a:bodyPr anchor="ctr" anchorCtr="true" rot="-6000000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754001152"/>
        <crosses val="autoZero"/>
        <crossBetween val="between"/>
      </valAx>
    </plotArea>
    <legend>
      <legendPos val="b"/>
      <overlay val="0"/>
    </legend>
    <plotVisOnly val="0"/>
    <dispBlanksAs val="gap"/>
    <showDLblsOverMax val="0"/>
  </chart>
  <spPr>
    <a:solidFill>
      <a:schemeClr val="bg1"/>
    </a:solidFill>
    <a:ln algn="ctr" cap="flat" cmpd="sng" w="9525">
      <a:solidFill>
        <a:schemeClr val="tx1">
          <a:lumMod val="15000"/>
          <a:lumOff val="85000"/>
        </a:schemeClr>
      </a:solidFill>
    </a:ln>
  </spPr>
  <printSettings>
    <pageMargins b="0.75" footer="0.3" header="0.3" l="0.7" r="0.7" t="0.7"/>
  </printSettings>
</chartSpace>
</file>

<file path=xl/charts/chart2.xml><?xml version="1.0" encoding="utf-8"?>
<chartSpace xmlns="http://schemas.openxmlformats.org/drawingml/2006/chart" xmlns:a="http://schemas.openxmlformats.org/drawingml/2006/main">
  <date1904 val="0"/>
  <lang val="en-US"/>
  <roundedCorners val="0"/>
  <chart>
    <title>
      <tx>
        <rich>
          <a:bodyPr anchorCtr="false" rot="0" spcFirstLastPara="false"/>
          <a:p>
            <a:pPr>
              <a:defRPr b="false" baseline="0" i="false" kern="1200" spc="0" strike="noStrike" sz="1400" u="none">
                <a:solidFill>
                  <a:schemeClr val="tx1">
                    <a:lumMod val="65000"/>
                    <a:lumOff val="35000"/>
                  </a:schemeClr>
                </a:solidFill>
                <a:latin typeface="+mn-lt"/>
                <a:ea typeface="+mn-ea"/>
                <a:cs typeface="+mn-cs"/>
              </a:defRPr>
            </a:pPr>
            <a:r>
              <a:rPr altLang="en-US" b="false" baseline="0" i="false" kern="0" lang="en-US" spc="0"/>
              <a:t>Algorithm Performance Comparison</a:t>
            </a:r>
          </a:p>
        </rich>
      </tx>
      <overlay val="0"/>
      <spPr/>
      <txPr>
        <a:bodyPr anchorCtr="false" rot="0" spcFirstLastPara="false"/>
        <a:p>
          <a:pPr>
            <a:defRPr b="false" baseline="0" i="false" kern="1200" spc="0" strike="noStrike" sz="14000" u="none"/>
          </a:pPr>
          <a:endParaRPr lang="en-US"/>
        </a:p>
      </txPr>
    </title>
    <view3D>
      <rotX val="0"/>
      <rotY val="0"/>
      <rAngAx val="0"/>
      <perspective val="0"/>
    </view3D>
    <floor>
      <thickness val="0"/>
    </floor>
    <sideWall>
      <thickness val="0"/>
    </sideWall>
    <backWall>
      <thickness val="0"/>
    </backWall>
    <plotArea>
      <barChart>
        <barDir val="col"/>
        <grouping val="clustered"/>
        <varyColors val="1"/>
        <ser>
          <idx val="0"/>
          <order val="0"/>
          <tx>
            <strRef>
              <f>bubble-sort</f>
            </strRef>
          </tx>
          <dLbls>
            <showLegendKey val="0"/>
            <showVal val="0"/>
            <showCatName val="0"/>
            <showSerName val="0"/>
            <showPercent val="0"/>
            <showBubbleSize val="0"/>
            <showLeaderLines val="0"/>
          </dLbls>
          <invertIfNegative val="0"/>
          <val>
            <numRef>
              <f>18839871760.666668</f>
            </numRef>
          </val>
          <smooth val="0"/>
        </ser>
        <ser>
          <idx val="1"/>
          <order val="1"/>
          <tx>
            <strRef>
              <f>merge-sort</f>
            </strRef>
          </tx>
          <dLbls>
            <showLegendKey val="0"/>
            <showVal val="0"/>
            <showCatName val="0"/>
            <showSerName val="0"/>
            <showPercent val="0"/>
            <showBubbleSize val="0"/>
            <showLeaderLines val="0"/>
          </dLbls>
          <invertIfNegative val="0"/>
          <val>
            <numRef>
              <f>259604335.733333</f>
            </numRef>
          </val>
          <smooth val="0"/>
        </ser>
        <ser>
          <idx val="2"/>
          <order val="2"/>
          <tx>
            <strRef>
              <f>quick-sort</f>
            </strRef>
          </tx>
          <dLbls>
            <showLegendKey val="0"/>
            <showVal val="0"/>
            <showCatName val="0"/>
            <showSerName val="0"/>
            <showPercent val="0"/>
            <showBubbleSize val="0"/>
            <showLeaderLines val="0"/>
          </dLbls>
          <invertIfNegative val="0"/>
          <val>
            <numRef>
              <f>7862351.766667</f>
            </numRef>
          </val>
          <smooth val="0"/>
        </ser>
        <dLbls>
          <showLegendKey val="0"/>
          <showVal val="0"/>
          <showCatName val="0"/>
          <showSerName val="0"/>
          <showPercent val="0"/>
          <showBubbleSize val="0"/>
          <showLeaderLines val="0"/>
        </dLbls>
        <axId val="754001152"/>
        <axId val="753999904"/>
      </barChart>
      <catAx>
        <axId val="754001152"/>
        <scaling>
          <orientation val="minMax"/>
        </scaling>
        <delete val="0"/>
        <axPos val="b"/>
        <numFmt formatCode="General" sourceLinked="true"/>
        <majorTickMark val="none"/>
        <minorTickMark val="none"/>
        <tickLblPos val="nextTo"/>
        <spPr>
          <a:ln algn="ctr" cap="flat" cmpd="sng" w="9525">
            <a:solidFill>
              <a:schemeClr val="tx1">
                <a:lumMod val="15000"/>
                <a:lumOff val="85000"/>
              </a:schemeClr>
            </a:solidFill>
          </a:ln>
        </spPr>
        <txPr>
          <a:bodyPr anchor="ctr" anchorCtr="true" rot="-6000000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753999904"/>
        <crosses val="autoZero"/>
        <auto val="1"/>
        <lblAlgn val="ctr"/>
        <lblOffset val="100"/>
        <noMultiLvlLbl val="0"/>
      </catAx>
      <valAx>
        <axId val="753999904"/>
        <scaling>
          <orientation val="minMax"/>
        </scaling>
        <delete val="0"/>
        <axPos val="l"/>
        <numFmt formatCode="General" sourceLinked="true"/>
        <majorTickMark val="none"/>
        <minorTickMark val="none"/>
        <tickLblPos val="nextTo"/>
        <spPr>
          <a:ln algn="ctr" cap="flat" cmpd="sng" w="9525">
            <a:solidFill>
              <a:schemeClr val="tx1">
                <a:lumMod val="15000"/>
                <a:lumOff val="85000"/>
              </a:schemeClr>
            </a:solidFill>
          </a:ln>
        </spPr>
        <txPr>
          <a:bodyPr anchor="ctr" anchorCtr="true" rot="-6000000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754001152"/>
        <crosses val="autoZero"/>
        <crossBetween val="between"/>
      </valAx>
    </plotArea>
    <legend>
      <legendPos val="b"/>
      <overlay val="0"/>
    </legend>
    <plotVisOnly val="0"/>
    <dispBlanksAs val="gap"/>
    <showDLblsOverMax val="0"/>
  </chart>
  <spPr>
    <a:solidFill>
      <a:schemeClr val="bg1"/>
    </a:solidFill>
    <a:ln algn="ctr" cap="flat" cmpd="sng" w="9525">
      <a:solidFill>
        <a:schemeClr val="tx1">
          <a:lumMod val="15000"/>
          <a:lumOff val="85000"/>
        </a:schemeClr>
      </a:solidFill>
    </a:ln>
  </spPr>
  <printSettings>
    <pageMargins b="0.75" footer="0.3" header="0.3" l="0.7" r="0.7" t="0.7"/>
  </printSettings>
</chartSpace>
</file>

<file path=xl/charts/chart3.xml><?xml version="1.0" encoding="utf-8"?>
<chartSpace xmlns="http://schemas.openxmlformats.org/drawingml/2006/chart" xmlns:a="http://schemas.openxmlformats.org/drawingml/2006/main">
  <date1904 val="0"/>
  <lang val="en-US"/>
  <roundedCorners val="0"/>
  <chart>
    <title>
      <tx>
        <rich>
          <a:bodyPr anchorCtr="false" rot="0" spcFirstLastPara="false"/>
          <a:p>
            <a:pPr>
              <a:defRPr b="false" baseline="0" i="false" kern="1200" spc="0" strike="noStrike" sz="1400" u="none">
                <a:solidFill>
                  <a:schemeClr val="tx1">
                    <a:lumMod val="65000"/>
                    <a:lumOff val="35000"/>
                  </a:schemeClr>
                </a:solidFill>
                <a:latin typeface="+mn-lt"/>
                <a:ea typeface="+mn-ea"/>
                <a:cs typeface="+mn-cs"/>
              </a:defRPr>
            </a:pPr>
            <a:r>
              <a:rPr altLang="en-US" b="false" baseline="0" i="false" kern="0" lang="en-US" spc="0"/>
              <a:t>Memory Usage Analysis</a:t>
            </a:r>
          </a:p>
        </rich>
      </tx>
      <overlay val="0"/>
      <spPr/>
      <txPr>
        <a:bodyPr anchorCtr="false" rot="0" spcFirstLastPara="false"/>
        <a:p>
          <a:pPr>
            <a:defRPr b="false" baseline="0" i="false" kern="1200" spc="0" strike="noStrike" sz="14000" u="none"/>
          </a:pPr>
          <a:endParaRPr lang="en-US"/>
        </a:p>
      </txPr>
    </title>
    <view3D>
      <rotX val="0"/>
      <rotY val="0"/>
      <rAngAx val="0"/>
      <perspective val="0"/>
    </view3D>
    <floor>
      <thickness val="0"/>
    </floor>
    <sideWall>
      <thickness val="0"/>
    </sideWall>
    <backWall>
      <thickness val="0"/>
    </backWall>
    <plotArea>
      <barChart>
        <barDir val="col"/>
        <grouping val="clustered"/>
        <varyColors val="1"/>
        <ser>
          <idx val="0"/>
          <order val="0"/>
          <tx>
            <strRef>
              <f>Total Allocated</f>
            </strRef>
          </tx>
          <dLbls>
            <showLegendKey val="0"/>
            <showVal val="0"/>
            <showCatName val="0"/>
            <showSerName val="0"/>
            <showPercent val="0"/>
            <showBubbleSize val="0"/>
            <showLeaderLines val="0"/>
          </dLbls>
          <invertIfNegative val="0"/>
          <cat>
            <strRef>
              <f>Memory_Statistics!$D$2:$D$19</f>
            </strRef>
          </cat>
          <val>
            <numRef>
              <f>Memory_Statistics!$E$2:$E$19</f>
            </numRef>
          </val>
          <smooth val="0"/>
        </ser>
        <ser>
          <idx val="1"/>
          <order val="1"/>
          <tx>
            <strRef>
              <f>Total Freed</f>
            </strRef>
          </tx>
          <dLbls>
            <showLegendKey val="0"/>
            <showVal val="0"/>
            <showCatName val="0"/>
            <showSerName val="0"/>
            <showPercent val="0"/>
            <showBubbleSize val="0"/>
            <showLeaderLines val="0"/>
          </dLbls>
          <invertIfNegative val="0"/>
          <cat>
            <strRef>
              <f>Memory_Statistics!$D$2:$D$19</f>
            </strRef>
          </cat>
          <val>
            <numRef>
              <f>Memory_Statistics!$F$2:$F$19</f>
            </numRef>
          </val>
          <smooth val="0"/>
        </ser>
        <dLbls>
          <showLegendKey val="0"/>
          <showVal val="0"/>
          <showCatName val="0"/>
          <showSerName val="0"/>
          <showPercent val="0"/>
          <showBubbleSize val="0"/>
          <showLeaderLines val="0"/>
        </dLbls>
        <axId val="754001152"/>
        <axId val="753999904"/>
      </barChart>
      <catAx>
        <axId val="754001152"/>
        <scaling>
          <orientation val="minMax"/>
        </scaling>
        <delete val="0"/>
        <axPos val="b"/>
        <numFmt formatCode="General" sourceLinked="true"/>
        <majorTickMark val="none"/>
        <minorTickMark val="none"/>
        <tickLblPos val="nextTo"/>
        <spPr>
          <a:ln algn="ctr" cap="flat" cmpd="sng" w="9525">
            <a:solidFill>
              <a:schemeClr val="tx1">
                <a:lumMod val="15000"/>
                <a:lumOff val="85000"/>
              </a:schemeClr>
            </a:solidFill>
          </a:ln>
        </spPr>
        <txPr>
          <a:bodyPr anchor="ctr" anchorCtr="true" rot="-6000000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753999904"/>
        <crosses val="autoZero"/>
        <auto val="1"/>
        <lblAlgn val="ctr"/>
        <lblOffset val="100"/>
        <noMultiLvlLbl val="0"/>
      </catAx>
      <valAx>
        <axId val="753999904"/>
        <scaling>
          <orientation val="minMax"/>
        </scaling>
        <delete val="0"/>
        <axPos val="l"/>
        <numFmt formatCode="General" sourceLinked="true"/>
        <majorTickMark val="none"/>
        <minorTickMark val="none"/>
        <tickLblPos val="nextTo"/>
        <spPr>
          <a:ln algn="ctr" cap="flat" cmpd="sng" w="9525">
            <a:solidFill>
              <a:schemeClr val="tx1">
                <a:lumMod val="15000"/>
                <a:lumOff val="85000"/>
              </a:schemeClr>
            </a:solidFill>
          </a:ln>
        </spPr>
        <txPr>
          <a:bodyPr anchor="ctr" anchorCtr="true" rot="-6000000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754001152"/>
        <crosses val="autoZero"/>
        <crossBetween val="between"/>
      </valAx>
    </plotArea>
    <legend>
      <legendPos val="b"/>
      <overlay val="0"/>
    </legend>
    <plotVisOnly val="0"/>
    <dispBlanksAs val="gap"/>
    <showDLblsOverMax val="0"/>
  </chart>
  <spPr>
    <a:solidFill>
      <a:schemeClr val="bg1"/>
    </a:solidFill>
    <a:ln algn="ctr" cap="flat" cmpd="sng" w="9525">
      <a:solidFill>
        <a:schemeClr val="tx1">
          <a:lumMod val="15000"/>
          <a:lumOff val="85000"/>
        </a:schemeClr>
      </a:solidFill>
    </a:ln>
  </spPr>
  <printSettings>
    <pageMargins b="0.75" footer="0.3" header="0.3" l="0.7" r="0.7" t="0.7"/>
  </printSettings>
</chartSpace>
</file>

<file path=xl/charts/chart4.xml><?xml version="1.0" encoding="utf-8"?>
<chartSpace xmlns="http://schemas.openxmlformats.org/drawingml/2006/chart" xmlns:a="http://schemas.openxmlformats.org/drawingml/2006/main">
  <date1904 val="0"/>
  <lang val="en-US"/>
  <roundedCorners val="0"/>
  <chart>
    <title>
      <tx>
        <rich>
          <a:bodyPr anchorCtr="false" rot="0" spcFirstLastPara="false"/>
          <a:p>
            <a:pPr>
              <a:defRPr b="false" baseline="0" i="false" kern="1200" spc="0" strike="noStrike" sz="1400" u="none">
                <a:solidFill>
                  <a:schemeClr val="tx1">
                    <a:lumMod val="65000"/>
                    <a:lumOff val="35000"/>
                  </a:schemeClr>
                </a:solidFill>
                <a:latin typeface="+mn-lt"/>
                <a:ea typeface="+mn-ea"/>
                <a:cs typeface="+mn-cs"/>
              </a:defRPr>
            </a:pPr>
            <a:r>
              <a:rPr altLang="en-US" b="false" baseline="0" i="false" kern="0" lang="en-US" spc="0"/>
              <a:t>Average Memory Usage by File Size</a:t>
            </a:r>
          </a:p>
        </rich>
      </tx>
      <overlay val="0"/>
      <spPr/>
      <txPr>
        <a:bodyPr anchorCtr="false" rot="0" spcFirstLastPara="false"/>
        <a:p>
          <a:pPr>
            <a:defRPr b="false" baseline="0" i="false" kern="1200" spc="0" strike="noStrike" sz="14000" u="none"/>
          </a:pPr>
          <a:endParaRPr lang="en-US"/>
        </a:p>
      </txPr>
    </title>
    <view3D>
      <rotX val="0"/>
      <rotY val="0"/>
      <rAngAx val="0"/>
      <perspective val="0"/>
    </view3D>
    <floor>
      <thickness val="0"/>
    </floor>
    <sideWall>
      <thickness val="0"/>
    </sideWall>
    <backWall>
      <thickness val="0"/>
    </backWall>
    <plotArea>
      <lineChart>
        <grouping val="standard"/>
        <varyColors val="0"/>
        <ser>
          <idx val="0"/>
          <order val="0"/>
          <tx>
            <strRef>
              <f>Average Memory Usage</f>
            </strRef>
          </tx>
          <spPr>
            <a:ln cap="rnd" w="25400">
              <a:solidFill>
                <a:schemeClr val="accent1"/>
              </a:solidFill>
            </a:ln>
          </spPr>
          <dLbls>
            <showLegendKey val="0"/>
            <showVal val="0"/>
            <showCatName val="0"/>
            <showSerName val="0"/>
            <showPercent val="0"/>
            <showBubbleSize val="0"/>
            <showLeaderLines val="0"/>
          </dLbls>
          <marker>
            <size val="5"/>
            <spPr>
              <a:solidFill>
                <a:schemeClr val="accent1"/>
              </a:solidFill>
              <a:ln w="9252">
                <a:solidFill>
                  <a:schemeClr val="accent1"/>
                </a:solidFill>
              </a:ln>
            </spPr>
          </marker>
          <invertIfNegative val="0"/>
          <cat>
            <strRef>
              <f>Memory_Statistics!$D$2:$D$19</f>
            </strRef>
          </cat>
          <val>
            <numRef>
              <f>Memory_Statistics!$G$2:$G$19</f>
            </numRef>
          </val>
          <smooth val="0"/>
        </ser>
        <dLbls>
          <showLegendKey val="0"/>
          <showVal val="0"/>
          <showCatName val="0"/>
          <showSerName val="0"/>
          <showPercent val="0"/>
          <showBubbleSize val="0"/>
          <showLeaderLines val="0"/>
        </dLbls>
        <axId val="754001152"/>
        <axId val="753999904"/>
      </lineChart>
      <catAx>
        <axId val="754001152"/>
        <scaling>
          <orientation val="minMax"/>
        </scaling>
        <delete val="0"/>
        <axPos val="b"/>
        <numFmt formatCode="General" sourceLinked="true"/>
        <majorTickMark val="none"/>
        <minorTickMark val="none"/>
        <tickLblPos val="nextTo"/>
        <spPr>
          <a:ln algn="ctr" cap="flat" cmpd="sng" w="9525">
            <a:solidFill>
              <a:schemeClr val="tx1">
                <a:lumMod val="15000"/>
                <a:lumOff val="85000"/>
              </a:schemeClr>
            </a:solidFill>
          </a:ln>
        </spPr>
        <txPr>
          <a:bodyPr anchor="ctr" anchorCtr="true" rot="-6000000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753999904"/>
        <crosses val="autoZero"/>
        <auto val="1"/>
        <lblAlgn val="ctr"/>
        <lblOffset val="100"/>
        <noMultiLvlLbl val="0"/>
      </catAx>
      <valAx>
        <axId val="753999904"/>
        <scaling>
          <orientation val="minMax"/>
        </scaling>
        <delete val="0"/>
        <axPos val="l"/>
        <numFmt formatCode="General" sourceLinked="true"/>
        <majorTickMark val="none"/>
        <minorTickMark val="none"/>
        <tickLblPos val="nextTo"/>
        <spPr>
          <a:ln algn="ctr" cap="flat" cmpd="sng" w="9525">
            <a:solidFill>
              <a:schemeClr val="tx1">
                <a:lumMod val="15000"/>
                <a:lumOff val="85000"/>
              </a:schemeClr>
            </a:solidFill>
          </a:ln>
        </spPr>
        <txPr>
          <a:bodyPr anchor="ctr" anchorCtr="true" rot="-6000000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754001152"/>
        <crosses val="autoZero"/>
        <crossBetween val="between"/>
      </valAx>
    </plotArea>
    <legend>
      <legendPos val="b"/>
      <overlay val="0"/>
    </legend>
    <plotVisOnly val="0"/>
    <dispBlanksAs val="gap"/>
    <showDLblsOverMax val="0"/>
  </chart>
  <spPr>
    <a:solidFill>
      <a:schemeClr val="bg1"/>
    </a:solidFill>
    <a:ln algn="ctr" cap="flat" cmpd="sng" w="9525">
      <a:solidFill>
        <a:schemeClr val="tx1">
          <a:lumMod val="15000"/>
          <a:lumOff val="85000"/>
        </a:schemeClr>
      </a:solidFill>
    </a:ln>
  </spPr>
  <printSettings>
    <pageMargins b="0.75" footer="0.3" header="0.3" l="0.7" r="0.7" t="0.7"/>
  </printSettings>
</chartSpace>
</file>

<file path=xl/drawings/_rels/drawing1.xml.rels><?xml version="1.0" encoding="UTF-8"?>
<Relationships xmlns="http://schemas.openxmlformats.org/package/2006/relationships"><Relationship Id="rId1" Target="../charts/chart1.xml" Type="http://schemas.openxmlformats.org/officeDocument/2006/relationships/chart"></Relationship><Relationship Id="rId2" Target="../charts/chart2.xml" Type="http://schemas.openxmlformats.org/officeDocument/2006/relationships/chart"></Relationship></Relationships>
</file>

<file path=xl/drawings/_rels/drawing2.xml.rels><?xml version="1.0" encoding="UTF-8"?>
<Relationships xmlns="http://schemas.openxmlformats.org/package/2006/relationships"><Relationship Id="rId1" Target="../charts/chart3.xml" Type="http://schemas.openxmlformats.org/officeDocument/2006/relationships/chart"></Relationship><Relationship Id="rId2" Target="../charts/chart4.xml" Type="http://schemas.openxmlformats.org/officeDocument/2006/relationships/chart"></Relationship></Relationships>
</file>

<file path=xl/drawings/drawing1.xml><?xml version="1.0" encoding="utf-8"?>
<xdr:wsDr xmlns:a="http://schemas.openxmlformats.org/drawingml/2006/main" xmlns:xdr="http://schemas.openxmlformats.org/drawingml/2006/spreadsheetDrawing">
  <xdr:twoCellAnchor>
    <xdr:from>
      <xdr:col>0</xdr:col>
      <xdr:colOff>0</xdr:colOff>
      <xdr:row>0</xdr:row>
      <xdr:rowOff>0</xdr:rowOff>
    </xdr:from>
    <xdr:to>
      <xdr:col>7</xdr:col>
      <xdr:colOff>304800</xdr:colOff>
      <xdr:row>14</xdr:row>
      <xdr:rowOff>95250</xdr:rowOff>
    </xdr:to>
    <xdr:graphicFrame macro="">
      <xdr:nvGraphicFramePr>
        <xdr:cNvPr id="2" name="Chart 2" desc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false" fPrintsWithSheet="true"/>
  </xdr:twoCellAnchor>
  <xdr:twoCellAnchor>
    <xdr:from>
      <xdr:col>10</xdr:col>
      <xdr:colOff>0</xdr:colOff>
      <xdr:row>0</xdr:row>
      <xdr:rowOff>0</xdr:rowOff>
    </xdr:from>
    <xdr:to>
      <xdr:col>17</xdr:col>
      <xdr:colOff>304800</xdr:colOff>
      <xdr:row>14</xdr:row>
      <xdr:rowOff>95250</xdr:rowOff>
    </xdr:to>
    <xdr:graphicFrame macro="">
      <xdr:nvGraphicFramePr>
        <xdr:cNvPr id="3" name="Chart 3" desc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false" fPrintsWithSheet="true"/>
  </xdr:twoCellAnchor>
</xdr:wsDr>
</file>

<file path=xl/drawings/drawing2.xml><?xml version="1.0" encoding="utf-8"?>
<xdr:wsDr xmlns:a="http://schemas.openxmlformats.org/drawingml/2006/main" xmlns:xdr="http://schemas.openxmlformats.org/drawingml/2006/spreadsheetDrawing">
  <xdr:twoCellAnchor>
    <xdr:from>
      <xdr:col>0</xdr:col>
      <xdr:colOff>0</xdr:colOff>
      <xdr:row>0</xdr:row>
      <xdr:rowOff>0</xdr:rowOff>
    </xdr:from>
    <xdr:to>
      <xdr:col>7</xdr:col>
      <xdr:colOff>304800</xdr:colOff>
      <xdr:row>14</xdr:row>
      <xdr:rowOff>95250</xdr:rowOff>
    </xdr:to>
    <xdr:graphicFrame macro="">
      <xdr:nvGraphicFramePr>
        <xdr:cNvPr id="2" name="Chart 2" desc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false" fPrintsWithSheet="true"/>
  </xdr:twoCellAnchor>
  <xdr:twoCellAnchor>
    <xdr:from>
      <xdr:col>10</xdr:col>
      <xdr:colOff>0</xdr:colOff>
      <xdr:row>0</xdr:row>
      <xdr:rowOff>0</xdr:rowOff>
    </xdr:from>
    <xdr:to>
      <xdr:col>17</xdr:col>
      <xdr:colOff>304800</xdr:colOff>
      <xdr:row>14</xdr:row>
      <xdr:rowOff>95250</xdr:rowOff>
    </xdr:to>
    <xdr:graphicFrame macro="">
      <xdr:nvGraphicFramePr>
        <xdr:cNvPr id="3" name="Chart 3" desc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false" fPrintsWithSheet="true"/>
  </xdr:twoCellAnchor>
</xdr:wsDr>
</file>

<file path=xl/theme/theme1.xml><?xml version="1.0" encoding="utf-8"?>
<theme xmlns="http://schemas.openxmlformats.org/drawingml/2006/main" xmlns:a="http://schemas.openxmlformats.org/drawingml/2006/main" xmlns:r="http://schemas.openxmlformats.org/officeDocument/2006/relationships" name="Office Theme">
  <themeElements>
    <clrScheme name="Office">
      <dk1>
        <sysClr val="windowText" lastClr="000000"/>
      </dk1>
      <lt1>
        <sysClr val="window" lastClr="FFFFFF"/>
      </lt1>
      <dk2>
        <srgbClr val="44546A"/>
      </dk2>
      <lt2>
        <srgbClr val="E7E6E6"/>
      </lt2>
      <accent1>
        <srgbClr val="5B9BD5"/>
      </accent1>
      <accent2>
        <srgbClr val="ED7D31"/>
      </accent2>
      <accent3>
        <srgbClr val="A5A5A5"/>
      </accent3>
      <accent4>
        <srgbClr val="FFC000"/>
      </accent4>
      <accent5>
        <srgbClr val="4472C4"/>
      </accent5>
      <accent6>
        <srgbClr val="70AD47"/>
      </accent6>
      <hlink>
        <srgbClr val="0563C1"/>
      </hlink>
      <folHlink>
        <srgbClr val="954F72"/>
      </folHlink>
    </clrScheme>
    <fontScheme name="Office">
      <majorFont>
        <latin typeface="Calibri Light" panose="020F0302020204030204"/>
        <ea typeface=""/>
        <cs typeface=""/>
        <font script="Jpan" typeface="游ゴシック Light"/>
        <font script="Hang" typeface="맑은 고딕"/>
        <font script="Hans" typeface="等线 Light"/>
        <font script="Hant" typeface="新細明體"/>
        <font script="Arab" typeface="Times New Roman"/>
        <font script="Hebr" typeface="Times New Roman"/>
        <font script="Thai" typeface="Tahoma"/>
        <font script="Ethi" typeface="Nyala"/>
        <font script="Beng" typeface="Vrinda"/>
        <font script="Gujr" typeface="Shruti"/>
        <font script="Khmr" typeface="MoolBoran"/>
        <font script="Knda" typeface="Tunga"/>
        <font script="Guru" typeface="Raavi"/>
        <font script="Cans" typeface="Euphemia"/>
        <font script="Cher" typeface="Plantagenet Cherokee"/>
        <font script="Yiii" typeface="Microsoft Yi Baiti"/>
        <font script="Tibt" typeface="Microsoft Himalaya"/>
        <font script="Thaa" typeface="MV Boli"/>
        <font script="Deva" typeface="Mangal"/>
        <font script="Telu" typeface="Gautami"/>
        <font script="Taml" typeface="Latha"/>
        <font script="Syrc" typeface="Estrangelo Edessa"/>
        <font script="Orya" typeface="Kalinga"/>
        <font script="Mlym" typeface="Kartika"/>
        <font script="Laoo" typeface="DokChampa"/>
        <font script="Sinh" typeface="Iskoola Pota"/>
        <font script="Mong" typeface="Mongolian Baiti"/>
        <font script="Viet" typeface="Times New Roman"/>
        <font script="Uigh" typeface="Microsoft Uighur"/>
        <font script="Geor" typeface="Sylfaen"/>
      </majorFont>
      <minorFont>
        <latin typeface="Calibri" panose="020F0502020204030204"/>
        <ea typeface=""/>
        <cs typeface=""/>
        <font script="Jpan" typeface="游ゴシック"/>
        <font script="Hang" typeface="맑은 고딕"/>
        <font script="Hans" typeface="等线"/>
        <font script="Hant" typeface="新細明體"/>
        <font script="Arab" typeface="Arial"/>
        <font script="Hebr" typeface="Arial"/>
        <font script="Thai" typeface="Tahoma"/>
        <font script="Ethi" typeface="Nyala"/>
        <font script="Beng" typeface="Vrinda"/>
        <font script="Gujr" typeface="Shruti"/>
        <font script="Khmr" typeface="DaunPenh"/>
        <font script="Knda" typeface="Tunga"/>
        <font script="Guru" typeface="Raavi"/>
        <font script="Cans" typeface="Euphemia"/>
        <font script="Cher" typeface="Plantagenet Cherokee"/>
        <font script="Yiii" typeface="Microsoft Yi Baiti"/>
        <font script="Tibt" typeface="Microsoft Himalaya"/>
        <font script="Thaa" typeface="MV Boli"/>
        <font script="Deva" typeface="Mangal"/>
        <font script="Telu" typeface="Gautami"/>
        <font script="Taml" typeface="Latha"/>
        <font script="Syrc" typeface="Estrangelo Edessa"/>
        <font script="Orya" typeface="Kalinga"/>
        <font script="Mlym" typeface="Kartika"/>
        <font script="Laoo" typeface="DokChampa"/>
        <font script="Sinh" typeface="Iskoola Pota"/>
        <font script="Mong" typeface="Mongolian Baiti"/>
        <font script="Viet" typeface="Arial"/>
        <font script="Uigh" typeface="Microsoft Uighur"/>
        <font script="Geor" typeface="Sylfaen"/>
      </minorFont>
    </fontScheme>
    <fmtScheme name="Office">
      <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fillStyleLst>
      <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lnStyleLst>
      <effectStyleLst>
        <a:effectStyle>
          <a:effectLst/>
        </a:effectStyle>
        <a:effectStyle>
          <a:effectLst/>
        </a:effectStyle>
        <a:effectStyle>
          <a:effectLst>
            <a:outerShdw blurRad="57150" dist="19050" dir="5400000" algn="ctr" rotWithShape="0">
              <a:srgbClr val="000000">
                <a:alpha val="63000"/>
              </a:srgbClr>
            </a:outerShdw>
          </a:effectLst>
        </a:effectStyle>
      </effectStyleLst>
      <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bgFillStyleLst>
    </fmtScheme>
  </themeElements>
  <objectDefaults/>
  <extraClrSchemeLst/>
</theme>
</file>

<file path=xl/worksheets/_rels/sheet3.xml.rels><?xml version="1.0" encoding="UTF-8"?>
<Relationships xmlns="http://schemas.openxmlformats.org/package/2006/relationships"><Relationship Id="rId1" Target="../drawings/drawing1.xml" Type="http://schemas.openxmlformats.org/officeDocument/2006/relationships/drawing"></Relationship></Relationships>
</file>

<file path=xl/worksheets/_rels/sheet5.xml.rels><?xml version="1.0" encoding="UTF-8"?>
<Relationships xmlns="http://schemas.openxmlformats.org/package/2006/relationships"><Relationship Id="rId1" Target="../drawings/drawing2.xml" Type="http://schemas.openxmlformats.org/officeDocument/2006/relationships/drawing"></Relationship></Relationships>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sheetData/>
</worksheet>
</file>

<file path=xl/worksheets/sheet2.xml><?xml version="1.0" encoding="utf-8"?>
<worksheet xmlns="http://schemas.openxmlformats.org/spreadsheetml/2006/main">
  <dimension ref="A1"/>
  <sheetViews>
    <sheetView workbookViewId="0"/>
  </sheetViews>
  <cols>
    <col customWidth="true" max="9" min="1" width="15"/>
  </cols>
  <sheetData>
    <row r="1">
      <c r="A1" t="s">
        <v>0</v>
      </c>
      <c r="B1" t="s">
        <v>1</v>
      </c>
      <c r="C1" t="s">
        <v>2</v>
      </c>
      <c r="D1" t="s">
        <v>3</v>
      </c>
      <c r="E1" t="s">
        <v>4</v>
      </c>
      <c r="F1" t="s">
        <v>5</v>
      </c>
      <c r="G1" t="s">
        <v>6</v>
      </c>
      <c r="H1" t="s">
        <v>7</v>
      </c>
      <c r="I1" t="s">
        <v>8</v>
      </c>
    </row>
    <row r="2">
      <c r="A2" t="s">
        <v>9</v>
      </c>
      <c r="B2" t="s">
        <v>10</v>
      </c>
      <c r="C2" t="s">
        <v>11</v>
      </c>
      <c r="D2">
        <v>100</v>
      </c>
      <c r="E2">
        <v>470457.8</v>
      </c>
      <c r="F2">
        <v>41309.90932403508</v>
      </c>
      <c r="G2">
        <v>426848</v>
      </c>
      <c r="H2">
        <v>577414</v>
      </c>
      <c r="I2">
        <v>10</v>
      </c>
    </row>
    <row r="3">
      <c r="A3" t="s">
        <v>9</v>
      </c>
      <c r="B3" t="s">
        <v>10</v>
      </c>
      <c r="C3" t="s">
        <v>12</v>
      </c>
      <c r="D3">
        <v>1024</v>
      </c>
      <c r="E3">
        <v>13662388.8</v>
      </c>
      <c r="F3">
        <v>9791293.112908844</v>
      </c>
      <c r="G3">
        <v>8872904</v>
      </c>
      <c r="H3">
        <v>41618002</v>
      </c>
      <c r="I3">
        <v>10</v>
      </c>
    </row>
    <row r="4">
      <c r="A4" t="s">
        <v>9</v>
      </c>
      <c r="B4" t="s">
        <v>10</v>
      </c>
      <c r="C4" t="s">
        <v>13</v>
      </c>
      <c r="D4">
        <v>5120</v>
      </c>
      <c r="E4">
        <v>232415567.6</v>
      </c>
      <c r="F4">
        <v>9830667.115144517</v>
      </c>
      <c r="G4">
        <v>225277644</v>
      </c>
      <c r="H4">
        <v>260640886</v>
      </c>
      <c r="I4">
        <v>10</v>
      </c>
    </row>
    <row r="5">
      <c r="A5" t="s">
        <v>9</v>
      </c>
      <c r="B5" t="s">
        <v>10</v>
      </c>
      <c r="C5" t="s">
        <v>14</v>
      </c>
      <c r="D5">
        <v>10240</v>
      </c>
      <c r="E5">
        <v>927672148.4</v>
      </c>
      <c r="F5">
        <v>16327839.820732826</v>
      </c>
      <c r="G5">
        <v>904739604</v>
      </c>
      <c r="H5">
        <v>966794964</v>
      </c>
      <c r="I5">
        <v>10</v>
      </c>
    </row>
    <row r="6">
      <c r="A6" t="s">
        <v>9</v>
      </c>
      <c r="B6" t="s">
        <v>10</v>
      </c>
      <c r="C6" t="s">
        <v>15</v>
      </c>
      <c r="D6">
        <v>51200</v>
      </c>
      <c r="E6">
        <v>22648774218.4</v>
      </c>
      <c r="F6">
        <v>262017421.55413854</v>
      </c>
      <c r="G6">
        <v>21985413392</v>
      </c>
      <c r="H6">
        <v>22871080652</v>
      </c>
      <c r="I6">
        <v>10</v>
      </c>
    </row>
    <row r="7">
      <c r="A7" t="s">
        <v>9</v>
      </c>
      <c r="B7" t="s">
        <v>10</v>
      </c>
      <c r="C7" t="s">
        <v>16</v>
      </c>
      <c r="D7">
        <v>102400</v>
      </c>
      <c r="E7">
        <v>89216235783</v>
      </c>
      <c r="F7">
        <v>302486583.34774214</v>
      </c>
      <c r="G7">
        <v>88562186492</v>
      </c>
      <c r="H7">
        <v>89589077290</v>
      </c>
      <c r="I7">
        <v>10</v>
      </c>
    </row>
    <row r="8">
      <c r="A8" t="s">
        <v>17</v>
      </c>
      <c r="B8" t="s">
        <v>10</v>
      </c>
      <c r="C8" t="s">
        <v>11</v>
      </c>
      <c r="D8">
        <v>100</v>
      </c>
      <c r="E8">
        <v>2393228.8</v>
      </c>
      <c r="F8">
        <v>1502997.0857843205</v>
      </c>
      <c r="G8">
        <v>732070</v>
      </c>
      <c r="H8">
        <v>4638344</v>
      </c>
      <c r="I8">
        <v>10</v>
      </c>
    </row>
    <row r="9">
      <c r="A9" t="s">
        <v>17</v>
      </c>
      <c r="B9" t="s">
        <v>10</v>
      </c>
      <c r="C9" t="s">
        <v>12</v>
      </c>
      <c r="D9">
        <v>1024</v>
      </c>
      <c r="E9">
        <v>11244731</v>
      </c>
      <c r="F9">
        <v>3991629.9543546117</v>
      </c>
      <c r="G9">
        <v>8555176</v>
      </c>
      <c r="H9">
        <v>22700552</v>
      </c>
      <c r="I9">
        <v>10</v>
      </c>
    </row>
    <row r="10">
      <c r="A10" t="s">
        <v>17</v>
      </c>
      <c r="B10" t="s">
        <v>10</v>
      </c>
      <c r="C10" t="s">
        <v>13</v>
      </c>
      <c r="D10">
        <v>5120</v>
      </c>
      <c r="E10">
        <v>48288553.6</v>
      </c>
      <c r="F10">
        <v>2605521.701544441</v>
      </c>
      <c r="G10">
        <v>44879654</v>
      </c>
      <c r="H10">
        <v>53403892</v>
      </c>
      <c r="I10">
        <v>10</v>
      </c>
    </row>
    <row r="11">
      <c r="A11" t="s">
        <v>17</v>
      </c>
      <c r="B11" t="s">
        <v>10</v>
      </c>
      <c r="C11" t="s">
        <v>14</v>
      </c>
      <c r="D11">
        <v>10240</v>
      </c>
      <c r="E11">
        <v>94121817.4</v>
      </c>
      <c r="F11">
        <v>2452905.744029974</v>
      </c>
      <c r="G11">
        <v>91776446</v>
      </c>
      <c r="H11">
        <v>99170956</v>
      </c>
      <c r="I11">
        <v>10</v>
      </c>
    </row>
    <row r="12">
      <c r="A12" t="s">
        <v>17</v>
      </c>
      <c r="B12" t="s">
        <v>10</v>
      </c>
      <c r="C12" t="s">
        <v>15</v>
      </c>
      <c r="D12">
        <v>51200</v>
      </c>
      <c r="E12">
        <v>470071874.8</v>
      </c>
      <c r="F12">
        <v>21110852.23579941</v>
      </c>
      <c r="G12">
        <v>413350856</v>
      </c>
      <c r="H12">
        <v>501016270</v>
      </c>
      <c r="I12">
        <v>10</v>
      </c>
    </row>
    <row r="13">
      <c r="A13" t="s">
        <v>17</v>
      </c>
      <c r="B13" t="s">
        <v>10</v>
      </c>
      <c r="C13" t="s">
        <v>16</v>
      </c>
      <c r="D13">
        <v>102400</v>
      </c>
      <c r="E13">
        <v>931505808.8</v>
      </c>
      <c r="F13">
        <v>45925273.48101086</v>
      </c>
      <c r="G13">
        <v>798129736</v>
      </c>
      <c r="H13">
        <v>970141574</v>
      </c>
      <c r="I13">
        <v>10</v>
      </c>
    </row>
    <row r="14">
      <c r="A14" t="s">
        <v>18</v>
      </c>
      <c r="B14" t="s">
        <v>10</v>
      </c>
      <c r="C14" t="s">
        <v>11</v>
      </c>
      <c r="D14">
        <v>100</v>
      </c>
      <c r="E14">
        <v>74024.8</v>
      </c>
      <c r="F14">
        <v>22261.01608103278</v>
      </c>
      <c r="G14">
        <v>59750</v>
      </c>
      <c r="H14">
        <v>127726</v>
      </c>
      <c r="I14">
        <v>10</v>
      </c>
    </row>
    <row r="15">
      <c r="A15" t="s">
        <v>18</v>
      </c>
      <c r="B15" t="s">
        <v>10</v>
      </c>
      <c r="C15" t="s">
        <v>12</v>
      </c>
      <c r="D15">
        <v>1024</v>
      </c>
      <c r="E15">
        <v>1012422.8</v>
      </c>
      <c r="F15">
        <v>67146.74044925785</v>
      </c>
      <c r="G15">
        <v>950786</v>
      </c>
      <c r="H15">
        <v>1186138</v>
      </c>
      <c r="I15">
        <v>10</v>
      </c>
    </row>
    <row r="16">
      <c r="A16" t="s">
        <v>18</v>
      </c>
      <c r="B16" t="s">
        <v>10</v>
      </c>
      <c r="C16" t="s">
        <v>13</v>
      </c>
      <c r="D16">
        <v>5120</v>
      </c>
      <c r="E16">
        <v>3375298.4</v>
      </c>
      <c r="F16">
        <v>2134441.1076395246</v>
      </c>
      <c r="G16">
        <v>1047546</v>
      </c>
      <c r="H16">
        <v>5590728</v>
      </c>
      <c r="I16">
        <v>10</v>
      </c>
    </row>
    <row r="17">
      <c r="A17" t="s">
        <v>18</v>
      </c>
      <c r="B17" t="s">
        <v>10</v>
      </c>
      <c r="C17" t="s">
        <v>14</v>
      </c>
      <c r="D17">
        <v>10240</v>
      </c>
      <c r="E17">
        <v>3817072.4</v>
      </c>
      <c r="F17">
        <v>3258654.746327423</v>
      </c>
      <c r="G17">
        <v>2154710</v>
      </c>
      <c r="H17">
        <v>11295598</v>
      </c>
      <c r="I17">
        <v>10</v>
      </c>
    </row>
    <row r="18">
      <c r="A18" t="s">
        <v>18</v>
      </c>
      <c r="B18" t="s">
        <v>10</v>
      </c>
      <c r="C18" t="s">
        <v>15</v>
      </c>
      <c r="D18">
        <v>51200</v>
      </c>
      <c r="E18">
        <v>13273580.2</v>
      </c>
      <c r="F18">
        <v>5586736.032824566</v>
      </c>
      <c r="G18">
        <v>11281770</v>
      </c>
      <c r="H18">
        <v>30031904</v>
      </c>
      <c r="I18">
        <v>10</v>
      </c>
    </row>
    <row r="19">
      <c r="A19" t="s">
        <v>18</v>
      </c>
      <c r="B19" t="s">
        <v>10</v>
      </c>
      <c r="C19" t="s">
        <v>16</v>
      </c>
      <c r="D19">
        <v>102400</v>
      </c>
      <c r="E19">
        <v>25621712</v>
      </c>
      <c r="F19">
        <v>7078062.584491493</v>
      </c>
      <c r="G19">
        <v>23020458</v>
      </c>
      <c r="H19">
        <v>46852110</v>
      </c>
      <c r="I19">
        <v>10</v>
      </c>
    </row>
  </sheetData>
</worksheet>
</file>

<file path=xl/worksheets/sheet3.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drawing r:id="rId1"/>
</worksheet>
</file>

<file path=xl/worksheets/sheet4.xml><?xml version="1.0" encoding="utf-8"?>
<worksheet xmlns="http://schemas.openxmlformats.org/spreadsheetml/2006/main">
  <dimension ref="A1"/>
  <sheetViews>
    <sheetView workbookViewId="0"/>
  </sheetViews>
  <cols>
    <col customWidth="true" max="9" min="1" width="20"/>
  </cols>
  <sheetData>
    <row r="1">
      <c r="A1" t="s">
        <v>0</v>
      </c>
      <c r="B1" t="s">
        <v>1</v>
      </c>
      <c r="C1" t="s">
        <v>2</v>
      </c>
      <c r="D1" t="s">
        <v>3</v>
      </c>
      <c r="E1" t="s">
        <v>19</v>
      </c>
      <c r="F1" t="s">
        <v>20</v>
      </c>
      <c r="G1" t="s">
        <v>21</v>
      </c>
      <c r="H1" t="s">
        <v>22</v>
      </c>
      <c r="I1" t="s">
        <v>23</v>
      </c>
    </row>
    <row r="2">
      <c r="A2" t="s">
        <v>9</v>
      </c>
      <c r="B2" t="s">
        <v>10</v>
      </c>
      <c r="C2" t="s">
        <v>11</v>
      </c>
      <c r="D2">
        <v>100</v>
      </c>
      <c r="E2">
        <v>0</v>
      </c>
      <c r="F2">
        <v>0</v>
      </c>
      <c r="G2">
        <v>0</v>
      </c>
      <c r="H2">
        <v>0</v>
      </c>
      <c r="I2">
        <v>0</v>
      </c>
    </row>
    <row r="3">
      <c r="A3" t="s">
        <v>9</v>
      </c>
      <c r="B3" t="s">
        <v>10</v>
      </c>
      <c r="C3" t="s">
        <v>12</v>
      </c>
      <c r="D3">
        <v>1000</v>
      </c>
      <c r="E3">
        <v>0</v>
      </c>
      <c r="F3">
        <v>0</v>
      </c>
      <c r="G3">
        <v>0</v>
      </c>
      <c r="H3">
        <v>0</v>
      </c>
      <c r="I3">
        <v>0</v>
      </c>
    </row>
    <row r="4">
      <c r="A4" t="s">
        <v>9</v>
      </c>
      <c r="B4" t="s">
        <v>10</v>
      </c>
      <c r="C4" t="s">
        <v>13</v>
      </c>
      <c r="D4">
        <v>5000</v>
      </c>
      <c r="E4">
        <v>0</v>
      </c>
      <c r="F4">
        <v>0</v>
      </c>
      <c r="G4">
        <v>0</v>
      </c>
      <c r="H4">
        <v>0</v>
      </c>
      <c r="I4">
        <v>0</v>
      </c>
    </row>
    <row r="5">
      <c r="A5" t="s">
        <v>9</v>
      </c>
      <c r="B5" t="s">
        <v>10</v>
      </c>
      <c r="C5" t="s">
        <v>14</v>
      </c>
      <c r="D5">
        <v>10000</v>
      </c>
      <c r="E5">
        <v>0</v>
      </c>
      <c r="F5">
        <v>0</v>
      </c>
      <c r="G5">
        <v>0</v>
      </c>
      <c r="H5">
        <v>0</v>
      </c>
      <c r="I5">
        <v>0</v>
      </c>
    </row>
    <row r="6">
      <c r="A6" t="s">
        <v>9</v>
      </c>
      <c r="B6" t="s">
        <v>10</v>
      </c>
      <c r="C6" t="s">
        <v>15</v>
      </c>
      <c r="D6">
        <v>50000</v>
      </c>
      <c r="E6">
        <v>0</v>
      </c>
      <c r="F6">
        <v>0</v>
      </c>
      <c r="G6">
        <v>0</v>
      </c>
      <c r="H6">
        <v>0</v>
      </c>
      <c r="I6">
        <v>0</v>
      </c>
    </row>
    <row r="7">
      <c r="A7" t="s">
        <v>9</v>
      </c>
      <c r="B7" t="s">
        <v>10</v>
      </c>
      <c r="C7" t="s">
        <v>16</v>
      </c>
      <c r="D7">
        <v>100000</v>
      </c>
      <c r="E7">
        <v>0</v>
      </c>
      <c r="F7">
        <v>0</v>
      </c>
      <c r="G7">
        <v>0</v>
      </c>
      <c r="H7">
        <v>0</v>
      </c>
      <c r="I7">
        <v>0</v>
      </c>
    </row>
    <row r="8">
      <c r="A8" t="s">
        <v>17</v>
      </c>
      <c r="B8" t="s">
        <v>10</v>
      </c>
      <c r="C8" t="s">
        <v>11</v>
      </c>
      <c r="D8">
        <v>100</v>
      </c>
      <c r="E8">
        <v>672</v>
      </c>
      <c r="F8">
        <v>672</v>
      </c>
      <c r="G8">
        <v>3.393939393939394</v>
      </c>
      <c r="H8">
        <v>99</v>
      </c>
      <c r="I8">
        <v>99</v>
      </c>
    </row>
    <row r="9">
      <c r="A9" t="s">
        <v>17</v>
      </c>
      <c r="B9" t="s">
        <v>10</v>
      </c>
      <c r="C9" t="s">
        <v>12</v>
      </c>
      <c r="D9">
        <v>1000</v>
      </c>
      <c r="E9">
        <v>10240</v>
      </c>
      <c r="F9">
        <v>10240</v>
      </c>
      <c r="G9">
        <v>5.004887585532747</v>
      </c>
      <c r="H9">
        <v>1023</v>
      </c>
      <c r="I9">
        <v>1023</v>
      </c>
    </row>
    <row r="10">
      <c r="A10" t="s">
        <v>17</v>
      </c>
      <c r="B10" t="s">
        <v>10</v>
      </c>
      <c r="C10" t="s">
        <v>13</v>
      </c>
      <c r="D10">
        <v>5000</v>
      </c>
      <c r="E10">
        <v>63488</v>
      </c>
      <c r="F10">
        <v>63488</v>
      </c>
      <c r="G10">
        <v>6.201211174057433</v>
      </c>
      <c r="H10">
        <v>5119</v>
      </c>
      <c r="I10">
        <v>5119</v>
      </c>
    </row>
    <row r="11">
      <c r="A11" t="s">
        <v>17</v>
      </c>
      <c r="B11" t="s">
        <v>10</v>
      </c>
      <c r="C11" t="s">
        <v>14</v>
      </c>
      <c r="D11">
        <v>10000</v>
      </c>
      <c r="E11">
        <v>137216</v>
      </c>
      <c r="F11">
        <v>137216</v>
      </c>
      <c r="G11">
        <v>6.70065436077742</v>
      </c>
      <c r="H11">
        <v>10239</v>
      </c>
      <c r="I11">
        <v>10239</v>
      </c>
    </row>
    <row r="12">
      <c r="A12" t="s">
        <v>17</v>
      </c>
      <c r="B12" t="s">
        <v>10</v>
      </c>
      <c r="C12" t="s">
        <v>15</v>
      </c>
      <c r="D12">
        <v>50000</v>
      </c>
      <c r="E12">
        <v>804864</v>
      </c>
      <c r="F12">
        <v>804864</v>
      </c>
      <c r="G12">
        <v>7.86015351862341</v>
      </c>
      <c r="H12">
        <v>51199</v>
      </c>
      <c r="I12">
        <v>51199</v>
      </c>
    </row>
    <row r="13">
      <c r="A13" t="s">
        <v>17</v>
      </c>
      <c r="B13" t="s">
        <v>10</v>
      </c>
      <c r="C13" t="s">
        <v>16</v>
      </c>
      <c r="D13">
        <v>100000</v>
      </c>
      <c r="E13">
        <v>1712128</v>
      </c>
      <c r="F13">
        <v>1712128</v>
      </c>
      <c r="G13">
        <v>8.36008164142228</v>
      </c>
      <c r="H13">
        <v>102399</v>
      </c>
      <c r="I13">
        <v>102399</v>
      </c>
    </row>
    <row r="14">
      <c r="A14" t="s">
        <v>18</v>
      </c>
      <c r="B14" t="s">
        <v>10</v>
      </c>
      <c r="C14" t="s">
        <v>11</v>
      </c>
      <c r="D14">
        <v>100</v>
      </c>
      <c r="E14">
        <v>0</v>
      </c>
      <c r="F14">
        <v>0</v>
      </c>
      <c r="G14">
        <v>0</v>
      </c>
      <c r="H14">
        <v>0</v>
      </c>
      <c r="I14">
        <v>0</v>
      </c>
    </row>
    <row r="15">
      <c r="A15" t="s">
        <v>18</v>
      </c>
      <c r="B15" t="s">
        <v>10</v>
      </c>
      <c r="C15" t="s">
        <v>12</v>
      </c>
      <c r="D15">
        <v>1000</v>
      </c>
      <c r="E15">
        <v>0</v>
      </c>
      <c r="F15">
        <v>0</v>
      </c>
      <c r="G15">
        <v>0</v>
      </c>
      <c r="H15">
        <v>0</v>
      </c>
      <c r="I15">
        <v>0</v>
      </c>
    </row>
    <row r="16">
      <c r="A16" t="s">
        <v>18</v>
      </c>
      <c r="B16" t="s">
        <v>10</v>
      </c>
      <c r="C16" t="s">
        <v>13</v>
      </c>
      <c r="D16">
        <v>5000</v>
      </c>
      <c r="E16">
        <v>0</v>
      </c>
      <c r="F16">
        <v>0</v>
      </c>
      <c r="G16">
        <v>0</v>
      </c>
      <c r="H16">
        <v>0</v>
      </c>
      <c r="I16">
        <v>0</v>
      </c>
    </row>
    <row r="17">
      <c r="A17" t="s">
        <v>18</v>
      </c>
      <c r="B17" t="s">
        <v>10</v>
      </c>
      <c r="C17" t="s">
        <v>14</v>
      </c>
      <c r="D17">
        <v>10000</v>
      </c>
      <c r="E17">
        <v>0</v>
      </c>
      <c r="F17">
        <v>0</v>
      </c>
      <c r="G17">
        <v>0</v>
      </c>
      <c r="H17">
        <v>0</v>
      </c>
      <c r="I17">
        <v>0</v>
      </c>
    </row>
    <row r="18">
      <c r="A18" t="s">
        <v>18</v>
      </c>
      <c r="B18" t="s">
        <v>10</v>
      </c>
      <c r="C18" t="s">
        <v>15</v>
      </c>
      <c r="D18">
        <v>50000</v>
      </c>
      <c r="E18">
        <v>0</v>
      </c>
      <c r="F18">
        <v>0</v>
      </c>
      <c r="G18">
        <v>0</v>
      </c>
      <c r="H18">
        <v>0</v>
      </c>
      <c r="I18">
        <v>0</v>
      </c>
    </row>
    <row r="19">
      <c r="A19" t="s">
        <v>18</v>
      </c>
      <c r="B19" t="s">
        <v>10</v>
      </c>
      <c r="C19" t="s">
        <v>16</v>
      </c>
      <c r="D19">
        <v>100000</v>
      </c>
      <c r="E19">
        <v>0</v>
      </c>
      <c r="F19">
        <v>0</v>
      </c>
      <c r="G19">
        <v>0</v>
      </c>
      <c r="H19">
        <v>0</v>
      </c>
      <c r="I19">
        <v>0</v>
      </c>
    </row>
  </sheetData>
</worksheet>
</file>

<file path=xl/worksheets/sheet5.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drawing r:id="rId1"/>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